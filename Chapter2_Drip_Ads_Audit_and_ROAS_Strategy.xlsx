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lide Presentation (PPT)" sheetId="1" state="visible" r:id="rId1"/>
    <sheet xmlns:r="http://schemas.openxmlformats.org/officeDocument/2006/relationships" name="1. Ads Library Audit" sheetId="2" state="visible" r:id="rId2"/>
    <sheet xmlns:r="http://schemas.openxmlformats.org/officeDocument/2006/relationships" name="2. Competitor Benchmarking" sheetId="3" state="visible" r:id="rId3"/>
    <sheet xmlns:r="http://schemas.openxmlformats.org/officeDocument/2006/relationships" name="3. 3+ ROAS Blueprint" sheetId="4" state="visible" r:id="rId4"/>
    <sheet xmlns:r="http://schemas.openxmlformats.org/officeDocument/2006/relationships" name="4. P&amp;L &amp; Scale Simu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&quot;x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94A3B8"/>
      <sz val="8"/>
    </font>
    <font>
      <name val="Arial"/>
      <i val="1"/>
      <color rgb="00475569"/>
      <sz val="10.5"/>
    </font>
    <font>
      <name val="Arial"/>
      <b val="1"/>
      <color rgb="00FFFFFF"/>
      <sz val="9"/>
    </font>
    <font>
      <name val="Arial"/>
      <color rgb="00334155"/>
      <sz val="8.5"/>
    </font>
    <font>
      <name val="Arial"/>
      <color rgb="00475569"/>
      <sz val="9"/>
    </font>
    <font>
      <name val="Arial"/>
      <b val="1"/>
      <color rgb="001E293B"/>
      <sz val="16"/>
    </font>
    <font>
      <name val="Arial"/>
      <i val="1"/>
      <color rgb="0064748B"/>
      <sz val="11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b val="1"/>
      <color rgb="00991B1B"/>
      <sz val="10"/>
    </font>
    <font>
      <name val="Arial"/>
      <b val="1"/>
      <color rgb="00C2410C"/>
      <sz val="10"/>
    </font>
    <font>
      <name val="Arial"/>
      <b val="1"/>
      <color rgb="0015803D"/>
      <sz val="10"/>
    </font>
    <font>
      <name val="Arial"/>
      <color rgb="00334155"/>
      <sz val="10"/>
    </font>
    <font>
      <name val="Arial"/>
      <b val="1"/>
      <color rgb="001E3A8A"/>
      <sz val="10"/>
    </font>
  </fonts>
  <fills count="1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991B1B"/>
        <bgColor rgb="00991B1B"/>
      </patternFill>
    </fill>
    <fill>
      <patternFill patternType="solid">
        <fgColor rgb="0015803D"/>
        <bgColor rgb="0015803D"/>
      </patternFill>
    </fill>
    <fill>
      <patternFill patternType="solid">
        <fgColor rgb="001E3A8A"/>
        <bgColor rgb="001E3A8A"/>
      </patternFill>
    </fill>
    <fill>
      <patternFill patternType="solid">
        <fgColor rgb="00EAB308"/>
        <bgColor rgb="00EAB308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</fills>
  <borders count="40">
    <border>
      <left/>
      <right/>
      <top/>
      <bottom/>
      <diagonal/>
    </border>
    <border>
      <left style="medium">
        <color rgb="001E293B"/>
      </left>
      <top style="medium">
        <color rgb="001E293B"/>
      </top>
    </border>
    <border>
      <top style="medium">
        <color rgb="001E293B"/>
      </top>
    </border>
    <border>
      <right style="medium">
        <color rgb="001E293B"/>
      </right>
      <top style="medium">
        <color rgb="001E293B"/>
      </top>
    </border>
    <border>
      <left style="medium">
        <color rgb="001E293B"/>
      </left>
    </border>
    <border/>
    <border>
      <right style="medium">
        <color rgb="001E293B"/>
      </right>
    </border>
    <border>
      <left style="medium">
        <color rgb="001E293B"/>
      </left>
      <bottom style="medium">
        <color rgb="001E293B"/>
      </bottom>
    </border>
    <border>
      <bottom style="medium">
        <color rgb="001E293B"/>
      </bottom>
    </border>
    <border>
      <right style="medium">
        <color rgb="001E293B"/>
      </right>
      <bottom style="medium">
        <color rgb="001E293B"/>
      </bottom>
    </border>
    <border>
      <left style="medium">
        <color rgb="001E293B"/>
      </left>
      <right style="medium">
        <color rgb="001E293B"/>
      </right>
      <top style="medium">
        <color rgb="001E293B"/>
      </top>
    </border>
    <border>
      <left/>
      <right/>
      <top style="medium">
        <color rgb="001E293B"/>
      </top>
      <bottom/>
      <diagonal/>
    </border>
    <border>
      <left style="medium">
        <color rgb="001E293B"/>
      </left>
      <right/>
      <top/>
      <bottom/>
      <diagonal/>
    </border>
    <border>
      <left/>
      <right style="medium">
        <color rgb="001E293B"/>
      </right>
      <top style="medium">
        <color rgb="001E293B"/>
      </top>
      <bottom/>
      <diagonal/>
    </border>
    <border>
      <left/>
      <right style="medium">
        <color rgb="001E293B"/>
      </right>
      <top/>
      <bottom/>
      <diagonal/>
    </border>
    <border>
      <left style="medium">
        <color rgb="001E293B"/>
      </left>
      <top style="medium">
        <color rgb="001E293B"/>
      </top>
      <bottom style="thin">
        <color rgb="00CBD5E1"/>
      </bottom>
    </border>
    <border>
      <left style="medium">
        <color rgb="001E293B"/>
      </left>
      <top style="thin">
        <color rgb="00CBD5E1"/>
      </top>
      <bottom style="medium">
        <color rgb="001E293B"/>
      </bottom>
    </border>
    <border>
      <top style="medium">
        <color rgb="001E293B"/>
      </top>
      <bottom style="thin">
        <color rgb="00CBD5E1"/>
      </bottom>
    </border>
    <border>
      <top style="thin">
        <color rgb="00CBD5E1"/>
      </top>
      <bottom style="medium">
        <color rgb="001E293B"/>
      </bottom>
    </border>
    <border>
      <right style="medium">
        <color rgb="001E293B"/>
      </right>
      <top style="medium">
        <color rgb="001E293B"/>
      </top>
      <bottom style="thin">
        <color rgb="00CBD5E1"/>
      </bottom>
    </border>
    <border>
      <right style="medium">
        <color rgb="001E293B"/>
      </right>
      <top style="thin">
        <color rgb="00CBD5E1"/>
      </top>
      <bottom style="medium">
        <color rgb="001E293B"/>
      </bottom>
    </border>
    <border>
      <left style="medium">
        <color rgb="001E293B"/>
      </left>
      <right style="medium">
        <color rgb="001E293B"/>
      </right>
      <bottom style="medium">
        <color rgb="001E293B"/>
      </bottom>
    </border>
    <border>
      <left/>
      <right/>
      <top/>
      <bottom style="medium">
        <color rgb="001E293B"/>
      </bottom>
      <diagonal/>
    </border>
    <border>
      <left/>
      <right style="medium">
        <color rgb="001E293B"/>
      </right>
      <top/>
      <bottom style="medium">
        <color rgb="001E293B"/>
      </bottom>
      <diagonal/>
    </border>
    <border>
      <left style="medium">
        <color rgb="001E293B"/>
      </left>
      <right style="medium">
        <color rgb="001E293B"/>
      </right>
    </border>
    <border>
      <left style="thin">
        <color rgb="00CBD5E1"/>
      </lef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475569"/>
      </left>
      <right style="thin">
        <color rgb="00475569"/>
      </right>
      <top style="medium">
        <color rgb="001E293B"/>
      </top>
      <bottom style="medium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E293B"/>
      </top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3" borderId="15" applyAlignment="1" pivotButton="0" quotePrefix="0" xfId="0">
      <alignment horizontal="center" vertical="center" wrapText="1"/>
    </xf>
    <xf numFmtId="0" fontId="0" fillId="3" borderId="17" pivotButton="0" quotePrefix="0" xfId="0"/>
    <xf numFmtId="0" fontId="0" fillId="3" borderId="19" pivotButton="0" quotePrefix="0" xfId="0"/>
    <xf numFmtId="0" fontId="0" fillId="3" borderId="16" pivotButton="0" quotePrefix="0" xfId="0"/>
    <xf numFmtId="0" fontId="0" fillId="3" borderId="18" pivotButton="0" quotePrefix="0" xfId="0"/>
    <xf numFmtId="0" fontId="0" fillId="3" borderId="20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3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4" borderId="25" applyAlignment="1" pivotButton="0" quotePrefix="0" xfId="0">
      <alignment horizontal="center" vertical="center" wrapText="1"/>
    </xf>
    <xf numFmtId="0" fontId="0" fillId="4" borderId="26" pivotButton="0" quotePrefix="0" xfId="0"/>
    <xf numFmtId="0" fontId="0" fillId="4" borderId="27" pivotButton="0" quotePrefix="0" xfId="0"/>
    <xf numFmtId="0" fontId="5" fillId="5" borderId="28" applyAlignment="1" pivotButton="0" quotePrefix="0" xfId="0">
      <alignment horizontal="left" vertical="top" wrapText="1"/>
    </xf>
    <xf numFmtId="0" fontId="0" fillId="5" borderId="29" pivotButton="0" quotePrefix="0" xfId="0"/>
    <xf numFmtId="0" fontId="0" fillId="5" borderId="30" pivotButton="0" quotePrefix="0" xfId="0"/>
    <xf numFmtId="0" fontId="0" fillId="5" borderId="31" pivotButton="0" quotePrefix="0" xfId="0"/>
    <xf numFmtId="0" fontId="0" fillId="5" borderId="5" pivotButton="0" quotePrefix="0" xfId="0"/>
    <xf numFmtId="0" fontId="0" fillId="5" borderId="32" pivotButton="0" quotePrefix="0" xfId="0"/>
    <xf numFmtId="0" fontId="0" fillId="5" borderId="33" pivotButton="0" quotePrefix="0" xfId="0"/>
    <xf numFmtId="0" fontId="0" fillId="5" borderId="34" pivotButton="0" quotePrefix="0" xfId="0"/>
    <xf numFmtId="0" fontId="0" fillId="5" borderId="35" pivotButton="0" quotePrefix="0" xfId="0"/>
    <xf numFmtId="0" fontId="6" fillId="6" borderId="24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6" borderId="14" pivotButton="0" quotePrefix="0" xfId="0"/>
    <xf numFmtId="0" fontId="0" fillId="6" borderId="12" pivotButton="0" quotePrefix="0" xfId="0"/>
    <xf numFmtId="0" fontId="2" fillId="2" borderId="16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20" pivotButton="0" quotePrefix="0" xfId="0"/>
    <xf numFmtId="0" fontId="4" fillId="7" borderId="25" applyAlignment="1" pivotButton="0" quotePrefix="0" xfId="0">
      <alignment horizontal="center" vertical="center" wrapText="1"/>
    </xf>
    <xf numFmtId="0" fontId="0" fillId="7" borderId="26" pivotButton="0" quotePrefix="0" xfId="0"/>
    <xf numFmtId="0" fontId="0" fillId="7" borderId="27" pivotButton="0" quotePrefix="0" xfId="0"/>
    <xf numFmtId="0" fontId="4" fillId="8" borderId="25" applyAlignment="1" pivotButton="0" quotePrefix="0" xfId="0">
      <alignment horizontal="center" vertical="center" wrapText="1"/>
    </xf>
    <xf numFmtId="0" fontId="0" fillId="8" borderId="26" pivotButton="0" quotePrefix="0" xfId="0"/>
    <xf numFmtId="0" fontId="0" fillId="8" borderId="27" pivotButton="0" quotePrefix="0" xfId="0"/>
    <xf numFmtId="0" fontId="4" fillId="9" borderId="25" applyAlignment="1" pivotButton="0" quotePrefix="0" xfId="0">
      <alignment horizontal="center" vertical="center" wrapText="1"/>
    </xf>
    <xf numFmtId="0" fontId="0" fillId="9" borderId="27" pivotButton="0" quotePrefix="0" xfId="0"/>
    <xf numFmtId="0" fontId="4" fillId="3" borderId="25" applyAlignment="1" pivotButton="0" quotePrefix="0" xfId="0">
      <alignment horizontal="center" vertical="center" wrapText="1"/>
    </xf>
    <xf numFmtId="0" fontId="0" fillId="3" borderId="27" pivotButton="0" quotePrefix="0" xfId="0"/>
    <xf numFmtId="0" fontId="4" fillId="10" borderId="25" applyAlignment="1" pivotButton="0" quotePrefix="0" xfId="0">
      <alignment horizontal="center" vertical="center" wrapText="1"/>
    </xf>
    <xf numFmtId="0" fontId="0" fillId="10" borderId="27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36" applyAlignment="1" pivotButton="0" quotePrefix="0" xfId="0">
      <alignment horizontal="center" vertical="center" wrapText="1"/>
    </xf>
    <xf numFmtId="0" fontId="14" fillId="5" borderId="37" applyAlignment="1" pivotButton="0" quotePrefix="0" xfId="0">
      <alignment horizontal="center" vertical="center" wrapText="1"/>
    </xf>
    <xf numFmtId="0" fontId="10" fillId="5" borderId="37" applyAlignment="1" pivotButton="0" quotePrefix="0" xfId="0">
      <alignment horizontal="left" vertical="center" wrapText="1"/>
    </xf>
    <xf numFmtId="0" fontId="14" fillId="5" borderId="37" applyAlignment="1" pivotButton="0" quotePrefix="0" xfId="0">
      <alignment horizontal="left" vertical="center" wrapText="1"/>
    </xf>
    <xf numFmtId="0" fontId="11" fillId="11" borderId="37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0" fillId="2" borderId="37" applyAlignment="1" pivotButton="0" quotePrefix="0" xfId="0">
      <alignment horizontal="left" vertical="center" wrapText="1"/>
    </xf>
    <xf numFmtId="0" fontId="14" fillId="2" borderId="37" applyAlignment="1" pivotButton="0" quotePrefix="0" xfId="0">
      <alignment horizontal="left" vertical="center" wrapText="1"/>
    </xf>
    <xf numFmtId="0" fontId="12" fillId="12" borderId="37" applyAlignment="1" pivotButton="0" quotePrefix="0" xfId="0">
      <alignment horizontal="center" vertical="center" wrapText="1"/>
    </xf>
    <xf numFmtId="0" fontId="13" fillId="13" borderId="37" applyAlignment="1" pivotButton="0" quotePrefix="0" xfId="0">
      <alignment horizontal="center" vertical="center" wrapText="1"/>
    </xf>
    <xf numFmtId="0" fontId="9" fillId="4" borderId="36" applyAlignment="1" pivotButton="0" quotePrefix="0" xfId="0">
      <alignment horizontal="center" vertical="center" wrapText="1"/>
    </xf>
    <xf numFmtId="0" fontId="10" fillId="5" borderId="37" applyAlignment="1" pivotButton="0" quotePrefix="0" xfId="0">
      <alignment horizontal="center" vertical="center" wrapText="1"/>
    </xf>
    <xf numFmtId="0" fontId="10" fillId="2" borderId="37" applyAlignment="1" pivotButton="0" quotePrefix="0" xfId="0">
      <alignment horizontal="center" vertical="center" wrapText="1"/>
    </xf>
    <xf numFmtId="0" fontId="10" fillId="14" borderId="37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164" fontId="14" fillId="2" borderId="37" applyAlignment="1" pivotButton="0" quotePrefix="0" xfId="0">
      <alignment horizontal="right" vertical="center" wrapText="1"/>
    </xf>
    <xf numFmtId="0" fontId="14" fillId="2" borderId="37" pivotButton="0" quotePrefix="0" xfId="0"/>
    <xf numFmtId="164" fontId="14" fillId="5" borderId="37" applyAlignment="1" pivotButton="0" quotePrefix="0" xfId="0">
      <alignment horizontal="right" vertical="center" wrapText="1"/>
    </xf>
    <xf numFmtId="0" fontId="14" fillId="5" borderId="37" pivotButton="0" quotePrefix="0" xfId="0"/>
    <xf numFmtId="165" fontId="14" fillId="2" borderId="37" applyAlignment="1" pivotButton="0" quotePrefix="0" xfId="0">
      <alignment horizontal="right" vertical="center" wrapText="1"/>
    </xf>
    <xf numFmtId="166" fontId="14" fillId="5" borderId="37" applyAlignment="1" pivotButton="0" quotePrefix="0" xfId="0">
      <alignment horizontal="right" vertical="center" wrapText="1"/>
    </xf>
    <xf numFmtId="164" fontId="15" fillId="14" borderId="37" applyAlignment="1" pivotButton="0" quotePrefix="0" xfId="0">
      <alignment horizontal="right" vertical="center" wrapText="1"/>
    </xf>
    <xf numFmtId="3" fontId="15" fillId="14" borderId="37" applyAlignment="1" pivotButton="0" quotePrefix="0" xfId="0">
      <alignment horizontal="right" vertical="center" wrapText="1"/>
    </xf>
    <xf numFmtId="0" fontId="10" fillId="5" borderId="38" applyAlignment="1" pivotButton="0" quotePrefix="0" xfId="0">
      <alignment horizontal="left" vertical="center" wrapText="1"/>
    </xf>
    <xf numFmtId="164" fontId="15" fillId="14" borderId="38" applyAlignment="1" pivotButton="0" quotePrefix="0" xfId="0">
      <alignment horizontal="right" vertical="center" wrapText="1"/>
    </xf>
    <xf numFmtId="0" fontId="14" fillId="5" borderId="38" applyAlignment="1" pivotButton="0" quotePrefix="0" xfId="0">
      <alignment horizontal="left" vertical="center" wrapText="1"/>
    </xf>
    <xf numFmtId="0" fontId="14" fillId="5" borderId="38" pivotButton="0" quotePrefix="0" xfId="0"/>
    <xf numFmtId="0" fontId="10" fillId="2" borderId="39" applyAlignment="1" pivotButton="0" quotePrefix="0" xfId="0">
      <alignment horizontal="left" vertical="center" wrapText="1"/>
    </xf>
    <xf numFmtId="165" fontId="11" fillId="11" borderId="39" applyAlignment="1" pivotButton="0" quotePrefix="0" xfId="0">
      <alignment horizontal="right" vertical="center" wrapText="1"/>
    </xf>
    <xf numFmtId="165" fontId="13" fillId="13" borderId="39" applyAlignment="1" pivotButton="0" quotePrefix="0" xfId="0">
      <alignment horizontal="right" vertical="center" wrapText="1"/>
    </xf>
    <xf numFmtId="0" fontId="14" fillId="2" borderId="39" applyAlignment="1" pivotButton="0" quotePrefix="0" xfId="0">
      <alignment horizontal="left" vertical="center" wrapText="1"/>
    </xf>
    <xf numFmtId="0" fontId="14" fillId="2" borderId="3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20" customHeight="1">
      <c r="B2" s="1" t="inlineStr">
        <is>
          <t>CHAPTER 2 DRIP: BOARD-LEVEL SCALING STRATEGY</t>
        </is>
      </c>
      <c r="C2" s="2" t="n"/>
      <c r="D2" s="2" t="n"/>
      <c r="E2" s="2" t="n"/>
      <c r="F2" s="2" t="n"/>
      <c r="G2" s="2" t="n"/>
      <c r="H2" s="2" t="n"/>
      <c r="I2" s="3" t="n"/>
    </row>
    <row r="3" ht="20" customHeight="1">
      <c r="B3" s="4" t="n"/>
      <c r="C3" s="5" t="n"/>
      <c r="D3" s="5" t="n"/>
      <c r="E3" s="5" t="n"/>
      <c r="F3" s="5" t="n"/>
      <c r="G3" s="5" t="n"/>
      <c r="H3" s="5" t="n"/>
      <c r="I3" s="6" t="n"/>
    </row>
    <row r="4" ht="22" customHeight="1">
      <c r="B4" s="7" t="n"/>
      <c r="C4" s="8" t="n"/>
      <c r="D4" s="8" t="n"/>
      <c r="E4" s="8" t="n"/>
      <c r="F4" s="8" t="n"/>
      <c r="G4" s="8" t="n"/>
      <c r="H4" s="8" t="n"/>
      <c r="I4" s="9" t="n"/>
    </row>
    <row r="5" ht="22" customHeight="1">
      <c r="B5" s="10" t="inlineStr">
        <is>
          <t>An Algorithmic Growth Roadmap &amp; Meta Ads Library Audit to Unlock ₹100 Cr+ Run Rate</t>
        </is>
      </c>
      <c r="I5" s="11" t="n"/>
    </row>
    <row r="6" ht="22" customHeight="1">
      <c r="B6" s="7" t="n"/>
      <c r="C6" s="8" t="n"/>
      <c r="D6" s="8" t="n"/>
      <c r="E6" s="8" t="n"/>
      <c r="F6" s="8" t="n"/>
      <c r="G6" s="8" t="n"/>
      <c r="H6" s="8" t="n"/>
      <c r="I6" s="9" t="n"/>
    </row>
    <row r="7" ht="22" customHeight="1">
      <c r="B7" s="7" t="n"/>
      <c r="C7" s="8" t="n"/>
      <c r="D7" s="8" t="n"/>
      <c r="E7" s="8" t="n"/>
      <c r="F7" s="8" t="n"/>
      <c r="G7" s="8" t="n"/>
      <c r="H7" s="8" t="n"/>
      <c r="I7" s="9" t="n"/>
    </row>
    <row r="8" ht="22" customHeight="1">
      <c r="B8" s="12" t="inlineStr">
        <is>
          <t>Strategic Growth Goals</t>
        </is>
      </c>
      <c r="C8" s="13" t="n"/>
      <c r="D8" s="13" t="n"/>
      <c r="E8" s="14" t="n"/>
      <c r="F8" s="12" t="inlineStr">
        <is>
          <t>Primary Operational Levers</t>
        </is>
      </c>
      <c r="G8" s="13" t="n"/>
      <c r="H8" s="13" t="n"/>
      <c r="I8" s="14" t="n"/>
    </row>
    <row r="9" ht="22" customHeight="1">
      <c r="B9" s="15" t="inlineStr">
        <is>
          <t>• Pivot acquisition from brand PR &amp; founder dependency to data-driven performance ads.
• Scale blended ad ROAS from 1.8x to 3.2x+ across Meta and Google.
• Increase Average Order Value (AOV) to ₹3,200+ via bundle offers and sets.</t>
        </is>
      </c>
      <c r="C9" s="16" t="n"/>
      <c r="D9" s="16" t="n"/>
      <c r="E9" s="17" t="n"/>
      <c r="F9" s="15" t="inlineStr">
        <is>
          <t>• Deploy Meta Advantage+ Shopping Campaigns (ASC+) for auto-targeting.
• Integrate strict 'Drop Scarcity' &amp; FOMO copywriting in ad copy.
• Creative Factory system: Launch 10-15 new test variations weekly.
• Google Search brand defense + generic PMax keywords setup.</t>
        </is>
      </c>
      <c r="G9" s="16" t="n"/>
      <c r="H9" s="16" t="n"/>
      <c r="I9" s="17" t="n"/>
    </row>
    <row r="10" ht="22" customHeight="1">
      <c r="B10" s="18" t="n"/>
      <c r="C10" s="19" t="n"/>
      <c r="D10" s="19" t="n"/>
      <c r="E10" s="20" t="n"/>
      <c r="F10" s="18" t="n"/>
      <c r="G10" s="19" t="n"/>
      <c r="H10" s="19" t="n"/>
      <c r="I10" s="20" t="n"/>
    </row>
    <row r="11" ht="22" customHeight="1">
      <c r="B11" s="18" t="n"/>
      <c r="C11" s="19" t="n"/>
      <c r="D11" s="19" t="n"/>
      <c r="E11" s="20" t="n"/>
      <c r="F11" s="18" t="n"/>
      <c r="G11" s="19" t="n"/>
      <c r="H11" s="19" t="n"/>
      <c r="I11" s="20" t="n"/>
    </row>
    <row r="12" ht="22" customHeight="1">
      <c r="B12" s="21" t="n"/>
      <c r="C12" s="22" t="n"/>
      <c r="D12" s="22" t="n"/>
      <c r="E12" s="23" t="n"/>
      <c r="F12" s="21" t="n"/>
      <c r="G12" s="22" t="n"/>
      <c r="H12" s="22" t="n"/>
      <c r="I12" s="23" t="n"/>
    </row>
    <row r="13" ht="22" customHeight="1">
      <c r="B13" s="7" t="n"/>
      <c r="C13" s="8" t="n"/>
      <c r="D13" s="8" t="n"/>
      <c r="E13" s="8" t="n"/>
      <c r="F13" s="8" t="n"/>
      <c r="G13" s="8" t="n"/>
      <c r="H13" s="8" t="n"/>
      <c r="I13" s="9" t="n"/>
    </row>
    <row r="14" ht="22" customHeight="1">
      <c r="B14" s="24" t="inlineStr">
        <is>
          <t>Context &amp; Vision:
Co-founded in 2024 by Rhea &amp; Showik Chakraborty. Currently valued at ₹40 Cr with a flagship experience store in Bandra, Mumbai. Built on the core values of reinvention, emotional storytelling, and premium unisex streetwear. Scaling now requires decoupling customer acquisition from co-founder celebrity buzz.</t>
        </is>
      </c>
      <c r="C14" s="25" t="n"/>
      <c r="D14" s="25" t="n"/>
      <c r="E14" s="25" t="n"/>
      <c r="F14" s="25" t="n"/>
      <c r="G14" s="25" t="n"/>
      <c r="H14" s="25" t="n"/>
      <c r="I14" s="26" t="n"/>
    </row>
    <row r="15" ht="22" customHeight="1">
      <c r="B15" s="27" t="n"/>
      <c r="C15" s="25" t="n"/>
      <c r="D15" s="25" t="n"/>
      <c r="E15" s="25" t="n"/>
      <c r="F15" s="25" t="n"/>
      <c r="G15" s="25" t="n"/>
      <c r="H15" s="25" t="n"/>
      <c r="I15" s="26" t="n"/>
    </row>
    <row r="16" ht="22" customHeight="1">
      <c r="B16" s="7" t="n"/>
      <c r="C16" s="8" t="n"/>
      <c r="D16" s="8" t="n"/>
      <c r="E16" s="8" t="n"/>
      <c r="F16" s="8" t="n"/>
      <c r="G16" s="8" t="n"/>
      <c r="H16" s="8" t="n"/>
      <c r="I16" s="9" t="n"/>
    </row>
    <row r="17" ht="22" customHeight="1">
      <c r="B17" s="7" t="n"/>
      <c r="C17" s="8" t="n"/>
      <c r="D17" s="8" t="n"/>
      <c r="E17" s="8" t="n"/>
      <c r="F17" s="8" t="n"/>
      <c r="G17" s="8" t="n"/>
      <c r="H17" s="8" t="n"/>
      <c r="I17" s="9" t="n"/>
    </row>
    <row r="18" ht="20" customHeight="1">
      <c r="B18" s="28" t="inlineStr">
        <is>
          <t>SLIDE 1 OF 5 | CHAPTER 2 DRIP SCALING STRATEGY PITCH</t>
        </is>
      </c>
      <c r="C18" s="29" t="n"/>
      <c r="D18" s="29" t="n"/>
      <c r="E18" s="29" t="n"/>
      <c r="F18" s="29" t="n"/>
      <c r="G18" s="29" t="n"/>
      <c r="H18" s="29" t="n"/>
      <c r="I18" s="30" t="n"/>
    </row>
    <row r="19" ht="15" customHeight="1"/>
    <row r="20" ht="20" customHeight="1">
      <c r="B20" s="1" t="inlineStr">
        <is>
          <t>SLIDE 2: CURRENT Baseline VS. TARGET ECONOMICS</t>
        </is>
      </c>
      <c r="C20" s="2" t="n"/>
      <c r="D20" s="2" t="n"/>
      <c r="E20" s="2" t="n"/>
      <c r="F20" s="2" t="n"/>
      <c r="G20" s="2" t="n"/>
      <c r="H20" s="2" t="n"/>
      <c r="I20" s="3" t="n"/>
    </row>
    <row r="21" ht="20" customHeight="1">
      <c r="B21" s="4" t="n"/>
      <c r="C21" s="5" t="n"/>
      <c r="D21" s="5" t="n"/>
      <c r="E21" s="5" t="n"/>
      <c r="F21" s="5" t="n"/>
      <c r="G21" s="5" t="n"/>
      <c r="H21" s="5" t="n"/>
      <c r="I21" s="6" t="n"/>
    </row>
    <row r="22" ht="22" customHeight="1">
      <c r="B22" s="7" t="n"/>
      <c r="C22" s="8" t="n"/>
      <c r="D22" s="8" t="n"/>
      <c r="E22" s="8" t="n"/>
      <c r="F22" s="8" t="n"/>
      <c r="G22" s="8" t="n"/>
      <c r="H22" s="8" t="n"/>
      <c r="I22" s="9" t="n"/>
    </row>
    <row r="23" ht="22" customHeight="1">
      <c r="B23" s="31" t="inlineStr">
        <is>
          <t>Current Baseline (Est)</t>
        </is>
      </c>
      <c r="C23" s="32" t="n"/>
      <c r="D23" s="33" t="n"/>
      <c r="E23" s="34" t="inlineStr">
        <is>
          <t>Target Scale Economics</t>
        </is>
      </c>
      <c r="F23" s="35" t="n"/>
      <c r="G23" s="36" t="n"/>
      <c r="H23" s="37" t="inlineStr">
        <is>
          <t>Marketer Growth Insight</t>
        </is>
      </c>
      <c r="I23" s="38" t="n"/>
    </row>
    <row r="24" ht="22" customHeight="1">
      <c r="B24" s="15" t="inlineStr">
        <is>
          <t>• Monthly Media Spend:  ₹90,00,000
• Blended Ad ROAS:  1.8x
• Gross Sales Revenue:  ₹1,62,00,000
• Average Order Value:  ₹2,200
• Blended COGS &amp; Fulfillment:  52.8%
• Blended CAC:  ₹1,222
• CM1 Margin:  -₹13,50,000 (-8.3%)
Observation: Low AOV + low ROAS restricts scale.</t>
        </is>
      </c>
      <c r="C24" s="16" t="n"/>
      <c r="D24" s="17" t="n"/>
      <c r="E24" s="15" t="inlineStr">
        <is>
          <t>• Monthly Media Spend:  ₹1,35,00,000
• Blended Ad ROAS:  3.2x
• Gross Sales Revenue:  ₹4,32,00,000
• Average Order Value:  ₹3,200
• Blended COGS &amp; Fulfillment:  43.8%
• Blended CAC:  ₹1,000
• CM1 Margin:  +₹1,08,00,000 (+25.0%)
Observation: Raising AOV to ₹3,200 unlocks media scale.</t>
        </is>
      </c>
      <c r="F24" s="16" t="n"/>
      <c r="G24" s="17" t="n"/>
      <c r="H24" s="15" t="inlineStr">
        <is>
          <t>Why AOV is our bottleneck:
At ₹2,200 AOV, the maximum CAC we can afford to hit a 3.0x ROAS is ₹733.
By bundling products (Tee + Cargo) to raise AOV to ₹3,200, we raise our CAC tolerance to ₹1,000. This allows us to bid higher, outbid competitors in the Meta auction, and scale spending profitably.</t>
        </is>
      </c>
      <c r="I24" s="17" t="n"/>
    </row>
    <row r="25" ht="22" customHeight="1">
      <c r="B25" s="18" t="n"/>
      <c r="C25" s="19" t="n"/>
      <c r="D25" s="20" t="n"/>
      <c r="E25" s="18" t="n"/>
      <c r="F25" s="19" t="n"/>
      <c r="G25" s="20" t="n"/>
      <c r="H25" s="18" t="n"/>
      <c r="I25" s="20" t="n"/>
    </row>
    <row r="26" ht="22" customHeight="1">
      <c r="B26" s="18" t="n"/>
      <c r="C26" s="19" t="n"/>
      <c r="D26" s="20" t="n"/>
      <c r="E26" s="18" t="n"/>
      <c r="F26" s="19" t="n"/>
      <c r="G26" s="20" t="n"/>
      <c r="H26" s="18" t="n"/>
      <c r="I26" s="20" t="n"/>
    </row>
    <row r="27" ht="22" customHeight="1">
      <c r="B27" s="18" t="n"/>
      <c r="C27" s="19" t="n"/>
      <c r="D27" s="20" t="n"/>
      <c r="E27" s="18" t="n"/>
      <c r="F27" s="19" t="n"/>
      <c r="G27" s="20" t="n"/>
      <c r="H27" s="18" t="n"/>
      <c r="I27" s="20" t="n"/>
    </row>
    <row r="28" ht="22" customHeight="1">
      <c r="B28" s="18" t="n"/>
      <c r="C28" s="19" t="n"/>
      <c r="D28" s="20" t="n"/>
      <c r="E28" s="18" t="n"/>
      <c r="F28" s="19" t="n"/>
      <c r="G28" s="20" t="n"/>
      <c r="H28" s="18" t="n"/>
      <c r="I28" s="20" t="n"/>
    </row>
    <row r="29" ht="22" customHeight="1">
      <c r="B29" s="18" t="n"/>
      <c r="C29" s="19" t="n"/>
      <c r="D29" s="20" t="n"/>
      <c r="E29" s="18" t="n"/>
      <c r="F29" s="19" t="n"/>
      <c r="G29" s="20" t="n"/>
      <c r="H29" s="18" t="n"/>
      <c r="I29" s="20" t="n"/>
    </row>
    <row r="30" ht="22" customHeight="1">
      <c r="B30" s="18" t="n"/>
      <c r="C30" s="19" t="n"/>
      <c r="D30" s="20" t="n"/>
      <c r="E30" s="18" t="n"/>
      <c r="F30" s="19" t="n"/>
      <c r="G30" s="20" t="n"/>
      <c r="H30" s="18" t="n"/>
      <c r="I30" s="20" t="n"/>
    </row>
    <row r="31" ht="22" customHeight="1">
      <c r="B31" s="21" t="n"/>
      <c r="C31" s="22" t="n"/>
      <c r="D31" s="23" t="n"/>
      <c r="E31" s="21" t="n"/>
      <c r="F31" s="22" t="n"/>
      <c r="G31" s="23" t="n"/>
      <c r="H31" s="21" t="n"/>
      <c r="I31" s="23" t="n"/>
    </row>
    <row r="32" ht="22" customHeight="1">
      <c r="B32" s="7" t="n"/>
      <c r="C32" s="8" t="n"/>
      <c r="D32" s="8" t="n"/>
      <c r="E32" s="8" t="n"/>
      <c r="F32" s="8" t="n"/>
      <c r="G32" s="8" t="n"/>
      <c r="H32" s="8" t="n"/>
      <c r="I32" s="9" t="n"/>
    </row>
    <row r="33" ht="22" customHeight="1">
      <c r="B33" s="7" t="n"/>
      <c r="C33" s="8" t="n"/>
      <c r="D33" s="8" t="n"/>
      <c r="E33" s="8" t="n"/>
      <c r="F33" s="8" t="n"/>
      <c r="G33" s="8" t="n"/>
      <c r="H33" s="8" t="n"/>
      <c r="I33" s="9" t="n"/>
    </row>
    <row r="34" ht="20" customHeight="1">
      <c r="B34" s="28" t="inlineStr">
        <is>
          <t>SLIDE 2 OF 5 | CHAPTER 2 DRIP SCALING STRATEGY PITCH</t>
        </is>
      </c>
      <c r="C34" s="29" t="n"/>
      <c r="D34" s="29" t="n"/>
      <c r="E34" s="29" t="n"/>
      <c r="F34" s="29" t="n"/>
      <c r="G34" s="29" t="n"/>
      <c r="H34" s="29" t="n"/>
      <c r="I34" s="30" t="n"/>
    </row>
    <row r="35" ht="15" customHeight="1"/>
    <row r="36" ht="20" customHeight="1">
      <c r="B36" s="1" t="inlineStr">
        <is>
          <t>SLIDE 3: META ADS AUDIT - PRIMARY PERFORMANCE GAPS</t>
        </is>
      </c>
      <c r="C36" s="2" t="n"/>
      <c r="D36" s="2" t="n"/>
      <c r="E36" s="2" t="n"/>
      <c r="F36" s="2" t="n"/>
      <c r="G36" s="2" t="n"/>
      <c r="H36" s="2" t="n"/>
      <c r="I36" s="3" t="n"/>
    </row>
    <row r="37" ht="20" customHeight="1">
      <c r="B37" s="4" t="n"/>
      <c r="C37" s="5" t="n"/>
      <c r="D37" s="5" t="n"/>
      <c r="E37" s="5" t="n"/>
      <c r="F37" s="5" t="n"/>
      <c r="G37" s="5" t="n"/>
      <c r="H37" s="5" t="n"/>
      <c r="I37" s="6" t="n"/>
    </row>
    <row r="38" ht="22" customHeight="1">
      <c r="B38" s="7" t="n"/>
      <c r="C38" s="8" t="n"/>
      <c r="D38" s="8" t="n"/>
      <c r="E38" s="8" t="n"/>
      <c r="F38" s="8" t="n"/>
      <c r="G38" s="8" t="n"/>
      <c r="H38" s="8" t="n"/>
      <c r="I38" s="9" t="n"/>
    </row>
    <row r="39" ht="22" customHeight="1">
      <c r="B39" s="39" t="inlineStr">
        <is>
          <t>Gap 1: Celeb Dependency</t>
        </is>
      </c>
      <c r="C39" s="40" t="n"/>
      <c r="D39" s="39" t="inlineStr">
        <is>
          <t>Gap 2: Low Asset Count</t>
        </is>
      </c>
      <c r="E39" s="40" t="n"/>
      <c r="F39" s="39" t="inlineStr">
        <is>
          <t>Gap 3: Vibe-Only Focus</t>
        </is>
      </c>
      <c r="G39" s="40" t="n"/>
      <c r="H39" s="41" t="inlineStr">
        <is>
          <t>Quick Win: Drop Urgency</t>
        </is>
      </c>
      <c r="I39" s="42" t="n"/>
    </row>
    <row r="40" ht="22" customHeight="1">
      <c r="B40" s="15" t="inlineStr">
        <is>
          <t>• Observation: Cinematic video ads of Rhea Chakraborty fatigue fast.
• Impact: High cold acquisition costs.
• Fix: Pivot to product-first UGC styling checks by micro-creators who look like the target buyer.</t>
        </is>
      </c>
      <c r="C40" s="17" t="n"/>
      <c r="D40" s="15" t="inlineStr">
        <is>
          <t>• Observation: Only a few active high-production video ads in the library.
• Impact: Meta algorithm cannot optimize cohorts.
• Fix: Establish a 'Creative Factory' launching 10-15 raw UGC variations weekly.</t>
        </is>
      </c>
      <c r="E40" s="17" t="n"/>
      <c r="F40" s="15" t="inlineStr">
        <is>
          <t>• Observation: Ads focus on lifestyle; ignore fit, fabric weight, or GSM.
• Impact: Low page-to-cart conversions.
• Fix: Use text overlays detailing specs (e.g. 240 GSM, puff prints).</t>
        </is>
      </c>
      <c r="G40" s="17" t="n"/>
      <c r="H40" s="15" t="inlineStr">
        <is>
          <t>• Concept: Streetwear buyers are driven by scarcity &amp; FOMO.
• Action: Run ad copy around drop availability: 'Drop 02 - Sold out means gone.'
• Retargeting: Run countdown timer ads on Instagram Stories.</t>
        </is>
      </c>
      <c r="I40" s="17" t="n"/>
    </row>
    <row r="41" ht="22" customHeight="1">
      <c r="B41" s="18" t="n"/>
      <c r="C41" s="20" t="n"/>
      <c r="D41" s="18" t="n"/>
      <c r="E41" s="20" t="n"/>
      <c r="F41" s="18" t="n"/>
      <c r="G41" s="20" t="n"/>
      <c r="H41" s="18" t="n"/>
      <c r="I41" s="20" t="n"/>
    </row>
    <row r="42" ht="22" customHeight="1">
      <c r="B42" s="18" t="n"/>
      <c r="C42" s="20" t="n"/>
      <c r="D42" s="18" t="n"/>
      <c r="E42" s="20" t="n"/>
      <c r="F42" s="18" t="n"/>
      <c r="G42" s="20" t="n"/>
      <c r="H42" s="18" t="n"/>
      <c r="I42" s="20" t="n"/>
    </row>
    <row r="43" ht="22" customHeight="1">
      <c r="B43" s="18" t="n"/>
      <c r="C43" s="20" t="n"/>
      <c r="D43" s="18" t="n"/>
      <c r="E43" s="20" t="n"/>
      <c r="F43" s="18" t="n"/>
      <c r="G43" s="20" t="n"/>
      <c r="H43" s="18" t="n"/>
      <c r="I43" s="20" t="n"/>
    </row>
    <row r="44" ht="22" customHeight="1">
      <c r="B44" s="18" t="n"/>
      <c r="C44" s="20" t="n"/>
      <c r="D44" s="18" t="n"/>
      <c r="E44" s="20" t="n"/>
      <c r="F44" s="18" t="n"/>
      <c r="G44" s="20" t="n"/>
      <c r="H44" s="18" t="n"/>
      <c r="I44" s="20" t="n"/>
    </row>
    <row r="45" ht="22" customHeight="1">
      <c r="B45" s="18" t="n"/>
      <c r="C45" s="20" t="n"/>
      <c r="D45" s="18" t="n"/>
      <c r="E45" s="20" t="n"/>
      <c r="F45" s="18" t="n"/>
      <c r="G45" s="20" t="n"/>
      <c r="H45" s="18" t="n"/>
      <c r="I45" s="20" t="n"/>
    </row>
    <row r="46" ht="22" customHeight="1">
      <c r="B46" s="18" t="n"/>
      <c r="C46" s="20" t="n"/>
      <c r="D46" s="18" t="n"/>
      <c r="E46" s="20" t="n"/>
      <c r="F46" s="18" t="n"/>
      <c r="G46" s="20" t="n"/>
      <c r="H46" s="18" t="n"/>
      <c r="I46" s="20" t="n"/>
    </row>
    <row r="47" ht="22" customHeight="1">
      <c r="B47" s="21" t="n"/>
      <c r="C47" s="23" t="n"/>
      <c r="D47" s="21" t="n"/>
      <c r="E47" s="23" t="n"/>
      <c r="F47" s="21" t="n"/>
      <c r="G47" s="23" t="n"/>
      <c r="H47" s="21" t="n"/>
      <c r="I47" s="23" t="n"/>
    </row>
    <row r="48" ht="22" customHeight="1">
      <c r="B48" s="7" t="n"/>
      <c r="C48" s="8" t="n"/>
      <c r="D48" s="8" t="n"/>
      <c r="E48" s="8" t="n"/>
      <c r="F48" s="8" t="n"/>
      <c r="G48" s="8" t="n"/>
      <c r="H48" s="8" t="n"/>
      <c r="I48" s="9" t="n"/>
    </row>
    <row r="49" ht="22" customHeight="1">
      <c r="B49" s="7" t="n"/>
      <c r="C49" s="8" t="n"/>
      <c r="D49" s="8" t="n"/>
      <c r="E49" s="8" t="n"/>
      <c r="F49" s="8" t="n"/>
      <c r="G49" s="8" t="n"/>
      <c r="H49" s="8" t="n"/>
      <c r="I49" s="9" t="n"/>
    </row>
    <row r="50" ht="20" customHeight="1">
      <c r="B50" s="28" t="inlineStr">
        <is>
          <t>SLIDE 3 OF 5 | CHAPTER 2 DRIP SCALING STRATEGY PITCH</t>
        </is>
      </c>
      <c r="C50" s="29" t="n"/>
      <c r="D50" s="29" t="n"/>
      <c r="E50" s="29" t="n"/>
      <c r="F50" s="29" t="n"/>
      <c r="G50" s="29" t="n"/>
      <c r="H50" s="29" t="n"/>
      <c r="I50" s="30" t="n"/>
    </row>
    <row r="51" ht="15" customHeight="1"/>
    <row r="52" ht="20" customHeight="1">
      <c r="B52" s="1" t="inlineStr">
        <is>
          <t>SLIDE 4: STREETWEAR COMPETITOR INTELLIGENCE MATRIX</t>
        </is>
      </c>
      <c r="C52" s="2" t="n"/>
      <c r="D52" s="2" t="n"/>
      <c r="E52" s="2" t="n"/>
      <c r="F52" s="2" t="n"/>
      <c r="G52" s="2" t="n"/>
      <c r="H52" s="2" t="n"/>
      <c r="I52" s="3" t="n"/>
    </row>
    <row r="53" ht="20" customHeight="1">
      <c r="B53" s="4" t="n"/>
      <c r="C53" s="5" t="n"/>
      <c r="D53" s="5" t="n"/>
      <c r="E53" s="5" t="n"/>
      <c r="F53" s="5" t="n"/>
      <c r="G53" s="5" t="n"/>
      <c r="H53" s="5" t="n"/>
      <c r="I53" s="6" t="n"/>
    </row>
    <row r="54" ht="22" customHeight="1">
      <c r="B54" s="7" t="n"/>
      <c r="C54" s="8" t="n"/>
      <c r="D54" s="8" t="n"/>
      <c r="E54" s="8" t="n"/>
      <c r="F54" s="8" t="n"/>
      <c r="G54" s="8" t="n"/>
      <c r="H54" s="8" t="n"/>
      <c r="I54" s="9" t="n"/>
    </row>
    <row r="55" ht="22" customHeight="1">
      <c r="B55" s="12" t="inlineStr">
        <is>
          <t>Premium Competitors: Jaywalking &amp; Bluorng</t>
        </is>
      </c>
      <c r="C55" s="13" t="n"/>
      <c r="D55" s="13" t="n"/>
      <c r="E55" s="14" t="n"/>
      <c r="F55" s="12" t="inlineStr">
        <is>
          <t>Volume Competitors: Bonkers Corner &amp; Snitch</t>
        </is>
      </c>
      <c r="G55" s="13" t="n"/>
      <c r="H55" s="13" t="n"/>
      <c r="I55" s="14" t="n"/>
    </row>
    <row r="56" ht="22" customHeight="1">
      <c r="B56" s="15" t="inlineStr">
        <is>
          <t>• Jaywalking (Premium):
  - Tactic: High brand equity, model fit checks, raw street photos, zero discounts.
  - Action for C2: Target metropolitan high-income areas with premium styling guides.
• Bluorng (Premium):
  - Tactic: Strict drop model (never restocked), puff print fabric texture close-ups.
  - Action for C2: Design ad copy around scarcity: 'Drop 02 - Sold out means gone.'</t>
        </is>
      </c>
      <c r="C56" s="16" t="n"/>
      <c r="D56" s="16" t="n"/>
      <c r="E56" s="17" t="n"/>
      <c r="F56" s="15" t="inlineStr">
        <is>
          <t>• Bonkers Corner (Affordable):
  - Tactic: Gen Z UGC, college try-on hauls, student style checks. High discount loops.
  - Action for C2: Adopt try-on haul formats but retain C2's premium aesthetic.
• Snitch (Fast Fashion):
  - Tactic: AI-driven stock, 2-week shelf cycles, Advantage+ Shopping (ASC+) volume ads.
  - Action for C2: Set up automated Meta ASC campaigns.</t>
        </is>
      </c>
      <c r="G56" s="16" t="n"/>
      <c r="H56" s="16" t="n"/>
      <c r="I56" s="17" t="n"/>
    </row>
    <row r="57" ht="22" customHeight="1">
      <c r="B57" s="18" t="n"/>
      <c r="C57" s="19" t="n"/>
      <c r="D57" s="19" t="n"/>
      <c r="E57" s="20" t="n"/>
      <c r="F57" s="18" t="n"/>
      <c r="G57" s="19" t="n"/>
      <c r="H57" s="19" t="n"/>
      <c r="I57" s="20" t="n"/>
    </row>
    <row r="58" ht="22" customHeight="1">
      <c r="B58" s="18" t="n"/>
      <c r="C58" s="19" t="n"/>
      <c r="D58" s="19" t="n"/>
      <c r="E58" s="20" t="n"/>
      <c r="F58" s="18" t="n"/>
      <c r="G58" s="19" t="n"/>
      <c r="H58" s="19" t="n"/>
      <c r="I58" s="20" t="n"/>
    </row>
    <row r="59" ht="22" customHeight="1">
      <c r="B59" s="18" t="n"/>
      <c r="C59" s="19" t="n"/>
      <c r="D59" s="19" t="n"/>
      <c r="E59" s="20" t="n"/>
      <c r="F59" s="18" t="n"/>
      <c r="G59" s="19" t="n"/>
      <c r="H59" s="19" t="n"/>
      <c r="I59" s="20" t="n"/>
    </row>
    <row r="60" ht="22" customHeight="1">
      <c r="B60" s="18" t="n"/>
      <c r="C60" s="19" t="n"/>
      <c r="D60" s="19" t="n"/>
      <c r="E60" s="20" t="n"/>
      <c r="F60" s="18" t="n"/>
      <c r="G60" s="19" t="n"/>
      <c r="H60" s="19" t="n"/>
      <c r="I60" s="20" t="n"/>
    </row>
    <row r="61" ht="22" customHeight="1">
      <c r="B61" s="21" t="n"/>
      <c r="C61" s="22" t="n"/>
      <c r="D61" s="22" t="n"/>
      <c r="E61" s="23" t="n"/>
      <c r="F61" s="21" t="n"/>
      <c r="G61" s="22" t="n"/>
      <c r="H61" s="22" t="n"/>
      <c r="I61" s="23" t="n"/>
    </row>
    <row r="62" ht="22" customHeight="1">
      <c r="B62" s="7" t="n"/>
      <c r="C62" s="8" t="n"/>
      <c r="D62" s="8" t="n"/>
      <c r="E62" s="8" t="n"/>
      <c r="F62" s="8" t="n"/>
      <c r="G62" s="8" t="n"/>
      <c r="H62" s="8" t="n"/>
      <c r="I62" s="9" t="n"/>
    </row>
    <row r="63" ht="22" customHeight="1">
      <c r="B63" s="7" t="n"/>
      <c r="C63" s="8" t="n"/>
      <c r="D63" s="8" t="n"/>
      <c r="E63" s="8" t="n"/>
      <c r="F63" s="8" t="n"/>
      <c r="G63" s="8" t="n"/>
      <c r="H63" s="8" t="n"/>
      <c r="I63" s="9" t="n"/>
    </row>
    <row r="64" ht="20" customHeight="1">
      <c r="B64" s="28" t="inlineStr">
        <is>
          <t>SLIDE 4 OF 5 | CHAPTER 2 DRIP SCALING STRATEGY PITCH</t>
        </is>
      </c>
      <c r="C64" s="29" t="n"/>
      <c r="D64" s="29" t="n"/>
      <c r="E64" s="29" t="n"/>
      <c r="F64" s="29" t="n"/>
      <c r="G64" s="29" t="n"/>
      <c r="H64" s="29" t="n"/>
      <c r="I64" s="30" t="n"/>
    </row>
    <row r="65" ht="15" customHeight="1"/>
    <row r="66" ht="20" customHeight="1">
      <c r="B66" s="1" t="inlineStr">
        <is>
          <t>SLIDE 5: THE 4-STAGE SCALING MEDIA FUNNEL (ROAS 3+)</t>
        </is>
      </c>
      <c r="C66" s="2" t="n"/>
      <c r="D66" s="2" t="n"/>
      <c r="E66" s="2" t="n"/>
      <c r="F66" s="2" t="n"/>
      <c r="G66" s="2" t="n"/>
      <c r="H66" s="2" t="n"/>
      <c r="I66" s="3" t="n"/>
    </row>
    <row r="67" ht="20" customHeight="1">
      <c r="B67" s="4" t="n"/>
      <c r="C67" s="5" t="n"/>
      <c r="D67" s="5" t="n"/>
      <c r="E67" s="5" t="n"/>
      <c r="F67" s="5" t="n"/>
      <c r="G67" s="5" t="n"/>
      <c r="H67" s="5" t="n"/>
      <c r="I67" s="6" t="n"/>
    </row>
    <row r="68" ht="22" customHeight="1">
      <c r="B68" s="7" t="n"/>
      <c r="C68" s="8" t="n"/>
      <c r="D68" s="8" t="n"/>
      <c r="E68" s="8" t="n"/>
      <c r="F68" s="8" t="n"/>
      <c r="G68" s="8" t="n"/>
      <c r="H68" s="8" t="n"/>
      <c r="I68" s="9" t="n"/>
    </row>
    <row r="69" ht="22" customHeight="1">
      <c r="B69" s="39" t="inlineStr">
        <is>
          <t>TOF: Cold Acquisition (70%)</t>
        </is>
      </c>
      <c r="C69" s="40" t="n"/>
      <c r="D69" s="39" t="inlineStr">
        <is>
          <t>MOFU: Consideration (15%)</t>
        </is>
      </c>
      <c r="E69" s="40" t="n"/>
      <c r="F69" s="39" t="inlineStr">
        <is>
          <t>BOF: Direct Conversion (10%)</t>
        </is>
      </c>
      <c r="G69" s="40" t="n"/>
      <c r="H69" s="37" t="inlineStr">
        <is>
          <t>Retention &amp; LTV (5%)</t>
        </is>
      </c>
      <c r="I69" s="38" t="n"/>
    </row>
    <row r="70" ht="22" customHeight="1">
      <c r="B70" s="15" t="inlineStr">
        <is>
          <t>• Target: Broad Targeting &amp; Streetwear interest stack.
• Creative: Transformation reels, fabric spec guides, unboxing hooks.
• KPIs: CTR &gt; 2.0%, Hook &gt; 35%.</t>
        </is>
      </c>
      <c r="C70" s="17" t="n"/>
      <c r="D70" s="15" t="inlineStr">
        <is>
          <t>• Target: Page Engagers &amp; 50%+ Video Viewers (exclude buyers).
• Creative: Haul reviews, styling guides ('5 Ways to Style').
• KPIs: CTR &gt; 3.0%, ATC Rate &gt; 8%.</t>
        </is>
      </c>
      <c r="E70" s="17" t="n"/>
      <c r="F70" s="15" t="inlineStr">
        <is>
          <t>• Target: Cart Abandoners &amp; Checkouts (30 days).
• Creative: Catalog DPAs + checkout bundle offers.
• KPIs: ROAS &gt; 4.5x, Conv. &gt; 3.5%.</t>
        </is>
      </c>
      <c r="G70" s="17" t="n"/>
      <c r="H70" s="15" t="inlineStr">
        <is>
          <t>• Target: Past Customers (365 days).
• Creative: VIP early access (48-hour drop headstart).
• KPIs: Repeat Purchase &gt; 25%.</t>
        </is>
      </c>
      <c r="I70" s="17" t="n"/>
    </row>
    <row r="71" ht="22" customHeight="1">
      <c r="B71" s="18" t="n"/>
      <c r="C71" s="20" t="n"/>
      <c r="D71" s="18" t="n"/>
      <c r="E71" s="20" t="n"/>
      <c r="F71" s="18" t="n"/>
      <c r="G71" s="20" t="n"/>
      <c r="H71" s="18" t="n"/>
      <c r="I71" s="20" t="n"/>
    </row>
    <row r="72" ht="22" customHeight="1">
      <c r="B72" s="18" t="n"/>
      <c r="C72" s="20" t="n"/>
      <c r="D72" s="18" t="n"/>
      <c r="E72" s="20" t="n"/>
      <c r="F72" s="18" t="n"/>
      <c r="G72" s="20" t="n"/>
      <c r="H72" s="18" t="n"/>
      <c r="I72" s="20" t="n"/>
    </row>
    <row r="73" ht="22" customHeight="1">
      <c r="B73" s="18" t="n"/>
      <c r="C73" s="20" t="n"/>
      <c r="D73" s="18" t="n"/>
      <c r="E73" s="20" t="n"/>
      <c r="F73" s="18" t="n"/>
      <c r="G73" s="20" t="n"/>
      <c r="H73" s="18" t="n"/>
      <c r="I73" s="20" t="n"/>
    </row>
    <row r="74" ht="22" customHeight="1">
      <c r="B74" s="21" t="n"/>
      <c r="C74" s="23" t="n"/>
      <c r="D74" s="21" t="n"/>
      <c r="E74" s="23" t="n"/>
      <c r="F74" s="21" t="n"/>
      <c r="G74" s="23" t="n"/>
      <c r="H74" s="21" t="n"/>
      <c r="I74" s="23" t="n"/>
    </row>
    <row r="75" ht="22" customHeight="1">
      <c r="B75" s="7" t="n"/>
      <c r="C75" s="8" t="n"/>
      <c r="D75" s="8" t="n"/>
      <c r="E75" s="8" t="n"/>
      <c r="F75" s="8" t="n"/>
      <c r="G75" s="8" t="n"/>
      <c r="H75" s="8" t="n"/>
      <c r="I75" s="9" t="n"/>
    </row>
    <row r="76" ht="22" customHeight="1">
      <c r="B76" s="7" t="n"/>
      <c r="C76" s="8" t="n"/>
      <c r="D76" s="8" t="n"/>
      <c r="E76" s="8" t="n"/>
      <c r="F76" s="8" t="n"/>
      <c r="G76" s="8" t="n"/>
      <c r="H76" s="8" t="n"/>
      <c r="I76" s="9" t="n"/>
    </row>
    <row r="77" ht="20" customHeight="1">
      <c r="B77" s="28" t="inlineStr">
        <is>
          <t>SLIDE 5 OF 5 | CHAPTER 2 DRIP SCALING STRATEGY PITCH</t>
        </is>
      </c>
      <c r="C77" s="29" t="n"/>
      <c r="D77" s="29" t="n"/>
      <c r="E77" s="29" t="n"/>
      <c r="F77" s="29" t="n"/>
      <c r="G77" s="29" t="n"/>
      <c r="H77" s="29" t="n"/>
      <c r="I77" s="30" t="n"/>
    </row>
  </sheetData>
  <mergeCells count="42">
    <mergeCell ref="D69:E69"/>
    <mergeCell ref="F69:G69"/>
    <mergeCell ref="B23:D23"/>
    <mergeCell ref="H40:I47"/>
    <mergeCell ref="B55:E55"/>
    <mergeCell ref="B18:I18"/>
    <mergeCell ref="B24:D31"/>
    <mergeCell ref="B39:C39"/>
    <mergeCell ref="H39:I39"/>
    <mergeCell ref="B36:I37"/>
    <mergeCell ref="B56:E61"/>
    <mergeCell ref="B77:I77"/>
    <mergeCell ref="B20:I21"/>
    <mergeCell ref="B40:C47"/>
    <mergeCell ref="B69:C69"/>
    <mergeCell ref="H69:I69"/>
    <mergeCell ref="B66:I67"/>
    <mergeCell ref="E24:G31"/>
    <mergeCell ref="F70:G74"/>
    <mergeCell ref="B9:E12"/>
    <mergeCell ref="B34:I34"/>
    <mergeCell ref="F55:I55"/>
    <mergeCell ref="B70:C74"/>
    <mergeCell ref="F56:I61"/>
    <mergeCell ref="D70:E74"/>
    <mergeCell ref="H70:I74"/>
    <mergeCell ref="D39:E39"/>
    <mergeCell ref="H24:I31"/>
    <mergeCell ref="F9:I12"/>
    <mergeCell ref="F39:G39"/>
    <mergeCell ref="B8:E8"/>
    <mergeCell ref="B52:I53"/>
    <mergeCell ref="B64:I64"/>
    <mergeCell ref="F8:I8"/>
    <mergeCell ref="E23:G23"/>
    <mergeCell ref="B2:I3"/>
    <mergeCell ref="F40:G47"/>
    <mergeCell ref="B5:I5"/>
    <mergeCell ref="H23:I23"/>
    <mergeCell ref="B14:I15"/>
    <mergeCell ref="D40:E47"/>
    <mergeCell ref="B50:I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40" customWidth="1" min="4" max="4"/>
    <col width="15" customWidth="1" min="5" max="5"/>
    <col width="50" customWidth="1" min="6" max="6"/>
    <col width="12" customWidth="1" min="7" max="7"/>
  </cols>
  <sheetData>
    <row r="1" ht="28" customHeight="1">
      <c r="A1" s="43" t="inlineStr">
        <is>
          <t>Chapter 2 Drip - Meta Ads Library Audit &amp; Gaps Analysis</t>
        </is>
      </c>
    </row>
    <row r="2" ht="18" customHeight="1">
      <c r="A2" s="44" t="inlineStr">
        <is>
          <t>Conducted by Antigravity D2C Growth Command Center | Target: Identify Gaps to Unlock Scale</t>
        </is>
      </c>
    </row>
    <row r="3" ht="12" customHeight="1"/>
    <row r="4" ht="28" customHeight="1">
      <c r="A4" s="45" t="inlineStr">
        <is>
          <t>S.No.</t>
        </is>
      </c>
      <c r="B4" s="45" t="inlineStr">
        <is>
          <t>Key Audited Aspect</t>
        </is>
      </c>
      <c r="C4" s="45" t="inlineStr">
        <is>
          <t>Current Observation (What they are doing)</t>
        </is>
      </c>
      <c r="D4" s="45" t="inlineStr">
        <is>
          <t>Identified Gap (What is missing)</t>
        </is>
      </c>
      <c r="E4" s="45" t="inlineStr">
        <is>
          <t>Scaling Impact</t>
        </is>
      </c>
      <c r="F4" s="45" t="inlineStr">
        <is>
          <t>D2C Marketer Strategic Recommendation</t>
        </is>
      </c>
      <c r="G4" s="45" t="inlineStr">
        <is>
          <t>Priority</t>
        </is>
      </c>
    </row>
    <row r="5" ht="55" customHeight="1">
      <c r="A5" s="46" t="n">
        <v>1</v>
      </c>
      <c r="B5" s="47" t="inlineStr">
        <is>
          <t>Founder-Centric Creatives</t>
        </is>
      </c>
      <c r="C5" s="48" t="inlineStr">
        <is>
          <t>Heavy reliance on co-founder Rhea Chakraborty's personal brand, aesthetics, and direct features in high-budget short films.</t>
        </is>
      </c>
      <c r="D5" s="48" t="inlineStr">
        <is>
          <t>Ads suffer from rapid creative fatigue. Personal founder narratives have high PR value but fail to scale cold programmatic audiences who don't follow celebrity gossip.</t>
        </is>
      </c>
      <c r="E5" s="49" t="inlineStr">
        <is>
          <t>High</t>
        </is>
      </c>
      <c r="F5" s="48" t="inlineStr">
        <is>
          <t>De-risk by introducing product-first and consumer-first creatives. Implement styling tutorials, street-style hauls, and fit-checks by real Gen Z creators who look like the target buyer.</t>
        </is>
      </c>
      <c r="G5" s="49" t="inlineStr">
        <is>
          <t>P0</t>
        </is>
      </c>
    </row>
    <row r="6" ht="55" customHeight="1">
      <c r="A6" s="50" t="n">
        <v>2</v>
      </c>
      <c r="B6" s="51" t="inlineStr">
        <is>
          <t>Low Creative Velocity</t>
        </is>
      </c>
      <c r="C6" s="52" t="inlineStr">
        <is>
          <t>Very low volume of active ad assets in the library. Pushing a few highly polished, cinematic hero assets (like Tinder Holi collab or 'Denims &amp; Delusions').</t>
        </is>
      </c>
      <c r="D6" s="52" t="inlineStr">
        <is>
          <t>Meta's auction algorithm requires a high volume of raw creative inputs to test different hooks and match the right ad to the right cohort. Low asset counts lead to high CPA.</t>
        </is>
      </c>
      <c r="E6" s="49" t="inlineStr">
        <is>
          <t>High</t>
        </is>
      </c>
      <c r="F6" s="52" t="inlineStr">
        <is>
          <t>Establish a 'Creative Factory' system. Partner with 40-50 micro-influencers monthly to generate raw visual hooks. Target releasing 10-15 new ad variations weekly in various hooks/formats.</t>
        </is>
      </c>
      <c r="G6" s="49" t="inlineStr">
        <is>
          <t>P0</t>
        </is>
      </c>
    </row>
    <row r="7" ht="55" customHeight="1">
      <c r="A7" s="46" t="n">
        <v>3</v>
      </c>
      <c r="B7" s="47" t="inlineStr">
        <is>
          <t>Lack of Product Feature Focus</t>
        </is>
      </c>
      <c r="C7" s="48" t="inlineStr">
        <is>
          <t>Creatives focus purely on 'vibe', emotional messaging (e.g. resilience, LGBTQ+ acceptance) and moody lifestyle scenes.</t>
        </is>
      </c>
      <c r="D7" s="48" t="inlineStr">
        <is>
          <t>At a premium AOV of ₹2,500+, the consumer needs to understand the product value: fabric weight (GSM), comfort, wash durability, and detailing (e.g., modular pockets).</t>
        </is>
      </c>
      <c r="E7" s="49" t="inlineStr">
        <is>
          <t>High</t>
        </is>
      </c>
      <c r="F7" s="48" t="inlineStr">
        <is>
          <t>Launch structured product-demystifier ads. Use text overlays and voiceovers detailing product specs: '240 GSM Heavyweight French Terry Cotton', 'Acid-Wash Distressed Denim', fit charts.</t>
        </is>
      </c>
      <c r="G7" s="49" t="inlineStr">
        <is>
          <t>P0</t>
        </is>
      </c>
    </row>
    <row r="8" ht="55" customHeight="1">
      <c r="A8" s="50" t="n">
        <v>4</v>
      </c>
      <c r="B8" s="51" t="inlineStr">
        <is>
          <t>No Dynamic Retargeting (DPA)</t>
        </is>
      </c>
      <c r="C8" s="52" t="inlineStr">
        <is>
          <t>Active ads are primarily single-video reels pointing to the homepage or collection page. No active Advantage+ Catalog Ads running.</t>
        </is>
      </c>
      <c r="D8" s="52" t="inlineStr">
        <is>
          <t>High cart-abandonment rate. Streetwear is an impulse purchase, and warm traffic is falling out of the funnel without personalized product reminders.</t>
        </is>
      </c>
      <c r="E8" s="49" t="inlineStr">
        <is>
          <t>High</t>
        </is>
      </c>
      <c r="F8" s="52" t="inlineStr">
        <is>
          <t>Deploy Dynamic Product Ads (DPAs) and Advantage+ Catalog campaigns. Retarget add-to-carts with specific carousel cards displaying the exact products viewed, combined with a 10% first-purchase coupon.</t>
        </is>
      </c>
      <c r="G8" s="53" t="inlineStr">
        <is>
          <t>P1</t>
        </is>
      </c>
    </row>
    <row r="9" ht="55" customHeight="1">
      <c r="A9" s="46" t="n">
        <v>5</v>
      </c>
      <c r="B9" s="47" t="inlineStr">
        <is>
          <t>Absence of Scarcity / Drop Mechanics</t>
        </is>
      </c>
      <c r="C9" s="48" t="inlineStr">
        <is>
          <t>Drops are highlighted on social feed but ads run indefinitely without urgency banners.</t>
        </is>
      </c>
      <c r="D9" s="48" t="inlineStr">
        <is>
          <t>Fails to build the psychological FOMO (Fear of Missing Out) that drives high-ROAS streetwear brands (like Bluorng or Supreme).</t>
        </is>
      </c>
      <c r="E9" s="49" t="inlineStr">
        <is>
          <t>High</t>
        </is>
      </c>
      <c r="F9" s="48" t="inlineStr">
        <is>
          <t>Inject Drop Mechanics into ad copy and creatives: 'Drop 02: Only 500 units available. No Restocks.' or '92% Sold Out - Final Restock warning.' Run countdown timers on stories.</t>
        </is>
      </c>
      <c r="G9" s="49" t="inlineStr">
        <is>
          <t>P0</t>
        </is>
      </c>
    </row>
    <row r="10" ht="55" customHeight="1">
      <c r="A10" s="50" t="n">
        <v>6</v>
      </c>
      <c r="B10" s="51" t="inlineStr">
        <is>
          <t>High-Intent Search Leakage</t>
        </is>
      </c>
      <c r="C10" s="52" t="inlineStr">
        <is>
          <t>Almost 100% of budget spent on Meta/Instagram. Minimal Google Search or Performance Max coverage.</t>
        </is>
      </c>
      <c r="D10" s="52" t="inlineStr">
        <is>
          <t>Competitors (like Snitch and Bonkers) are bidding on Chapter 2 brand terms and high-intent generic keywords (e.g. 'premium cargos India', 'unisex streetwear Mumbai'), stealing high-intent buyers.</t>
        </is>
      </c>
      <c r="E10" s="53" t="inlineStr">
        <is>
          <t>Medium</t>
        </is>
      </c>
      <c r="F10" s="52" t="inlineStr">
        <is>
          <t>Set up a Google PMax campaign targeting high-intent keywords, and set up a Brand Search campaign to protect brand search real estate. Secure conversions from customers searching the brand directly.</t>
        </is>
      </c>
      <c r="G10" s="53" t="inlineStr">
        <is>
          <t>P1</t>
        </is>
      </c>
    </row>
    <row r="11" ht="55" customHeight="1">
      <c r="A11" s="46" t="n">
        <v>7</v>
      </c>
      <c r="B11" s="47" t="inlineStr">
        <is>
          <t>Strictly High-Brow English Copy</t>
        </is>
      </c>
      <c r="C11" s="48" t="inlineStr">
        <is>
          <t>Creative copy, voiceovers, and captions are exclusively in written English with sophisticated language.</t>
        </is>
      </c>
      <c r="D11" s="48" t="inlineStr">
        <is>
          <t>Misses massive regional streetwear pockets in Punjab, Pune, Northeast, and tier-2 colleges where streetwear is booming and relatable Hinglish/regional copy converts better.</t>
        </is>
      </c>
      <c r="E11" s="53" t="inlineStr">
        <is>
          <t>Medium</t>
        </is>
      </c>
      <c r="F11" s="48" t="inlineStr">
        <is>
          <t>Run parallel local-concept creatives. Use Hinglish voiceovers ('Drip level max, price range sorted') and local culture hooks. Test regional localization for Delhi NCR vs Mumbai street culture.</t>
        </is>
      </c>
      <c r="G11" s="54" t="inlineStr">
        <is>
          <t>P2</t>
        </is>
      </c>
    </row>
    <row r="12" ht="55" customHeight="1">
      <c r="A12" s="50" t="n">
        <v>8</v>
      </c>
      <c r="B12" s="51" t="inlineStr">
        <is>
          <t>Post-Click Friction (CRO)</t>
        </is>
      </c>
      <c r="C12" s="52" t="inlineStr">
        <is>
          <t>Ad clicks redirect to standard, unoptimized Shopify product pages. Size guides are standard text charts; no interactive bundle builders.</t>
        </is>
      </c>
      <c r="D12" s="52" t="inlineStr">
        <is>
          <t>High traffic drop-off at checkout. Streetwear buyers buy sets (hoodie + jogger) but have to navigate to separate pages, lowering the AOV and ROAS.</t>
        </is>
      </c>
      <c r="E12" s="49" t="inlineStr">
        <is>
          <t>High</t>
        </is>
      </c>
      <c r="F12" s="52" t="inlineStr">
        <is>
          <t>Build high-converting product pages with video overlays. Implement 'Shop the Look' bundle discounts directly on product pages (e.g. 'Add Joggers for 20% off'). This raises AOV, allowing us to bid higher on Meta.</t>
        </is>
      </c>
      <c r="G12" s="53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5" customWidth="1" min="4" max="4"/>
    <col width="38" customWidth="1" min="5" max="5"/>
    <col width="25" customWidth="1" min="6" max="6"/>
    <col width="45" customWidth="1" min="7" max="7"/>
  </cols>
  <sheetData>
    <row r="1" ht="28" customHeight="1">
      <c r="A1" s="43" t="inlineStr">
        <is>
          <t>Streetwear Competitor Intelligence Matrix</t>
        </is>
      </c>
    </row>
    <row r="2" ht="18" customHeight="1">
      <c r="A2" s="44" t="inlineStr">
        <is>
          <t>Analyzing the Ads Strategy of Key D2C Streetwear Brands in the Indian Market</t>
        </is>
      </c>
    </row>
    <row r="3" ht="12" customHeight="1"/>
    <row r="4" ht="28" customHeight="1">
      <c r="A4" s="55" t="inlineStr">
        <is>
          <t>S.No.</t>
        </is>
      </c>
      <c r="B4" s="55" t="inlineStr">
        <is>
          <t>Competitor</t>
        </is>
      </c>
      <c r="C4" s="55" t="inlineStr">
        <is>
          <t>Price Segment</t>
        </is>
      </c>
      <c r="D4" s="55" t="inlineStr">
        <is>
          <t>Core Strengths &amp; Positioning</t>
        </is>
      </c>
      <c r="E4" s="55" t="inlineStr">
        <is>
          <t>Ads Creative Strategy</t>
        </is>
      </c>
      <c r="F4" s="55" t="inlineStr">
        <is>
          <t>Media Buying Channels</t>
        </is>
      </c>
      <c r="G4" s="55" t="inlineStr">
        <is>
          <t>Key Actionable Takeaway for Chapter 2</t>
        </is>
      </c>
    </row>
    <row r="5" ht="75" customHeight="1">
      <c r="A5" s="46" t="n">
        <v>1</v>
      </c>
      <c r="B5" s="56" t="inlineStr">
        <is>
          <t>Jaywalking</t>
        </is>
      </c>
      <c r="C5" s="46" t="inlineStr">
        <is>
          <t>Ultra-Premium
(Tees: ₹3k-6k, Cargo/Jackets: ₹8k+)</t>
        </is>
      </c>
      <c r="D5" s="48" t="inlineStr">
        <is>
          <t>Pioneered Indian luxury D2C streetwear. Cult community. Handcrafted avant-garde shapes &amp; high-art branding.</t>
        </is>
      </c>
      <c r="E5" s="48" t="inlineStr">
        <is>
          <t>Raw model lookbooks, urban background styling, zero-discount, focus on silhouette shape and structural drops.</t>
        </is>
      </c>
      <c r="F5" s="48" t="inlineStr">
        <is>
          <t>Meta Ads (Awareness &amp; Conversions), organic Instagram seeding on rappers and designers.</t>
        </is>
      </c>
      <c r="G5" s="48" t="inlineStr">
        <is>
          <t>Target highly metropolitan, high-income zip codes with raw styling guides. Don't run standard conversion discounts; focus on premium silhouette differentiation.</t>
        </is>
      </c>
    </row>
    <row r="6" ht="75" customHeight="1">
      <c r="A6" s="50" t="n">
        <v>2</v>
      </c>
      <c r="B6" s="57" t="inlineStr">
        <is>
          <t>Bluorng</t>
        </is>
      </c>
      <c r="C6" s="50" t="inlineStr">
        <is>
          <t>Premium Streetwear
(Tees: ₹3.5k-5k, Hoodies: ₹5k-7k)</t>
        </is>
      </c>
      <c r="D6" s="52" t="inlineStr">
        <is>
          <t>Strict Drop Model (never restocked). High lifestyle aspiration, intense celebrity/creator gifting seeding.</t>
        </is>
      </c>
      <c r="E6" s="52" t="inlineStr">
        <is>
          <t>High-contrast lifestyle videos, extreme closeups of puff printing, high GSM puff fabric texture, and model fit transitions.</t>
        </is>
      </c>
      <c r="F6" s="52" t="inlineStr">
        <is>
          <t>Meta Ads (high creative variety), Google PMax, SEO (heavy investment to build organic brand trust).</t>
        </is>
      </c>
      <c r="G6" s="52" t="inlineStr">
        <is>
          <t>Adopt the drop model in performance ads. Design ad copy around scarcity: 'Drop 02: Only 500 units. Sold out means gone.' Showcase fabric details close-up to justify ₹3k+ prices.</t>
        </is>
      </c>
    </row>
    <row r="7" ht="75" customHeight="1">
      <c r="A7" s="46" t="n">
        <v>3</v>
      </c>
      <c r="B7" s="56" t="inlineStr">
        <is>
          <t>Bonkers Corner</t>
        </is>
      </c>
      <c r="C7" s="46" t="inlineStr">
        <is>
          <t>Affordable / Mass
(Tees: ₹799-1,499, Pants: ₹1,500+)</t>
        </is>
      </c>
      <c r="D7" s="48" t="inlineStr">
        <is>
          <t>Pop-culture licensing (Marvel, Disney, Anime), hyper-rapid catalog expansion, very low barrier to entry.</t>
        </is>
      </c>
      <c r="E7" s="48" t="inlineStr">
        <is>
          <t>High-volume Gen Z UGC, college try-on hauls, reaction videos, and trend-jacking. Focuses on humor, comfort, and discounts.</t>
        </is>
      </c>
      <c r="F7" s="48" t="inlineStr">
        <is>
          <t>Meta Ads, Snapchat Ads (heavy budget targeting teens), TikTok/Reels organic viral reach.</t>
        </is>
      </c>
      <c r="G7" s="48" t="inlineStr">
        <is>
          <t>Leverage their UGC formats (try-on hauls, student fit checks) but maintain Chapter 2's premium, edgy aesthetic. Do not run mass discount ads that cheapen the celebrity association.</t>
        </is>
      </c>
    </row>
    <row r="8" ht="75" customHeight="1">
      <c r="A8" s="50" t="n">
        <v>4</v>
      </c>
      <c r="B8" s="57" t="inlineStr">
        <is>
          <t>Snitch</t>
        </is>
      </c>
      <c r="C8" s="50" t="inlineStr">
        <is>
          <t>Fast Fashion Streetwear
(Tees: ₹999-1,999, Shirts: ₹1,499+)</t>
        </is>
      </c>
      <c r="D8" s="52" t="inlineStr">
        <is>
          <t>AI-driven supply chain, 2-week shelf cycle, highly systemized performance marketing, Shark Tank credibility.</t>
        </is>
      </c>
      <c r="E8" s="52" t="inlineStr">
        <is>
          <t>Relatable lifestyle reels, fast-paced transitions, humor/meme hooks, Advantage+ Shopping (ASC) volume catalog ads.</t>
        </is>
      </c>
      <c r="F8" s="52" t="inlineStr">
        <is>
          <t>Meta Ads (heavy Advantage+ focus), Google Ads (PMax &amp; high search bid share), YouTube pre-rolls.</t>
        </is>
      </c>
      <c r="G8" s="52" t="inlineStr">
        <is>
          <t>Build an Advantage+ Shopping (ASC+) campaign structure. Shift budget from cold interests to broad targeting. Launch daily catalog ad variations. Standardize nomenclature.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45" customWidth="1" min="4" max="4"/>
    <col width="35" customWidth="1" min="5" max="5"/>
    <col width="45" customWidth="1" min="6" max="6"/>
  </cols>
  <sheetData>
    <row r="1" ht="28" customHeight="1">
      <c r="A1" s="43" t="inlineStr">
        <is>
          <t>Chapter 2 Drip - 3.0+ ROAS Strategic Blueprint</t>
        </is>
      </c>
    </row>
    <row r="2" ht="18" customHeight="1">
      <c r="A2" s="44" t="inlineStr">
        <is>
          <t>Full-Funnel Media Buying Blueprint &amp; Creative Directive for Scaling Streetwear to ₹10 Cr+ Run Rate</t>
        </is>
      </c>
    </row>
    <row r="3" ht="12" customHeight="1"/>
    <row r="4" ht="28" customHeight="1">
      <c r="A4" s="45" t="inlineStr">
        <is>
          <t>Funnel Stage</t>
        </is>
      </c>
      <c r="B4" s="45" t="inlineStr">
        <is>
          <t>Target Audience Group</t>
        </is>
      </c>
      <c r="C4" s="45" t="inlineStr">
        <is>
          <t>Budget Allocation</t>
        </is>
      </c>
      <c r="D4" s="45" t="inlineStr">
        <is>
          <t>Creative Strategy &amp; Assets</t>
        </is>
      </c>
      <c r="E4" s="45" t="inlineStr">
        <is>
          <t>Core Key Performance Indicators (KPIs)</t>
        </is>
      </c>
      <c r="F4" s="45" t="inlineStr">
        <is>
          <t>Step-by-Step Action Plan</t>
        </is>
      </c>
    </row>
    <row r="5" ht="110" customHeight="1">
      <c r="A5" s="56" t="inlineStr">
        <is>
          <t>Top of Funnel (TOF)
- Cold Acquisition</t>
        </is>
      </c>
      <c r="B5" s="48" t="inlineStr">
        <is>
          <t>Broad Targeting (No interests, let Meta's pixel optimize).
Interest Stacks: Streetwear, Sneakers, Indian Hip Hop, College Pockets (18-30, Metros &amp; Tier-1).</t>
        </is>
      </c>
      <c r="C5" s="58" t="inlineStr">
        <is>
          <t>70% of Total Budget</t>
        </is>
      </c>
      <c r="D5" s="48" t="inlineStr">
        <is>
          <t>• Hook-Heavy Reels: Quick transitions showing streetwear transformations (e.g., 'From raw look to drop style in 5 seconds').
• Quality Demystifiers: Show close-ups of premium fabric texture and stitch detailing.
• Storytelling Reels: Founder Rhea sharing the brand's 'resilience/second chapter' message.</t>
        </is>
      </c>
      <c r="E5" s="48" t="inlineStr">
        <is>
          <t>• Outbound CTR: &gt; 2.0%
• Hook Rate (3-sec play / Imp): &gt; 35%
• Hold Rate (15-sec play / 3-sec play): &gt; 20%
• Blended CPC: &lt; ₹25</t>
        </is>
      </c>
      <c r="F5" s="48" t="inlineStr">
        <is>
          <t>1. Launch 1 Meta Advantage+ Shopping Campaign (ASC).
2. Partner with 30 micro-creators monthly to feed the ASC creative machine.
3. Launch 3 new creative concepts weekly to test different hooks.</t>
        </is>
      </c>
    </row>
    <row r="6" ht="110" customHeight="1">
      <c r="A6" s="57" t="inlineStr">
        <is>
          <t>Middle of Funnel (MOFU)
- Consideration</t>
        </is>
      </c>
      <c r="B6" s="52" t="inlineStr">
        <is>
          <t>Engagers Retargeting: 180-day Instagram &amp; Facebook page engagers, 50%+ video viewers of previous campaigns.</t>
        </is>
      </c>
      <c r="C6" s="58" t="inlineStr">
        <is>
          <t>15% of Total Budget</t>
        </is>
      </c>
      <c r="D6" s="52" t="inlineStr">
        <is>
          <t>• Social Proof UGC: Unboxing videos and raw streetwear haul reviews showing real customer fits.
• Styling Guides: '5 Ways to Style Our Acid Wash Denim Jacket.'
• Store Experience: Coffee nook 'Chapter 2 Brew' highlights + store walk-throughs in Bandra to build local trust.</t>
        </is>
      </c>
      <c r="E6" s="52" t="inlineStr">
        <is>
          <t>• CTR: &gt; 3.0%
• Landing Page View Rate: &gt; 75%
• Add to Cart (ATC) Rate: &gt; 8%
• Cost per ATC: &lt; ₹150</t>
        </is>
      </c>
      <c r="F6" s="52" t="inlineStr">
        <is>
          <t>1. Run a custom audience retargeting ad set.
2. Exclude past purchasers of the last 30 days.
3. Dynamic optimization: use interactive carousel ads with customer reviews overlayed.</t>
        </is>
      </c>
    </row>
    <row r="7" ht="110" customHeight="1">
      <c r="A7" s="56" t="inlineStr">
        <is>
          <t>Bottom of Funnel (BOF)
- Direct Conversion</t>
        </is>
      </c>
      <c r="B7" s="48" t="inlineStr">
        <is>
          <t>Cart Abandoners &amp; Checkout Initiators: 30-day website visitors who added to cart but did not purchase.</t>
        </is>
      </c>
      <c r="C7" s="58" t="inlineStr">
        <is>
          <t>10% of Total Budget</t>
        </is>
      </c>
      <c r="D7" s="48" t="inlineStr">
        <is>
          <t>• Dynamic Product Ads (DPA): Carousels displaying exact product items left in cart.
• Bundle Offer Ads: 'Complete the Drip: Buy Tee + Cargo, save ₹500.'
• Trust Alerts: Clear banners highlighting Free Shipping, Easy 7-Day Exchange, Cash on Delivery (COD).</t>
        </is>
      </c>
      <c r="E7" s="48" t="inlineStr">
        <is>
          <t>• ROAS: &gt; 4.5x
• Purchase Conversion Rate: &gt; 3.5%
• Cost Per Purchase (CPP): &lt; ₹800</t>
        </is>
      </c>
      <c r="F7" s="48" t="inlineStr">
        <is>
          <t>1. Deploy a catalog sales campaign mapped directly to the shopify product feed.
2. Set up automated overlays showing positive review stars on product catalog images.
3. Offer an automatic cart-recovery discount at checkout.</t>
        </is>
      </c>
    </row>
    <row r="8" ht="110" customHeight="1">
      <c r="A8" s="57" t="inlineStr">
        <is>
          <t>Retention &amp; LTV
- Brand Advocates</t>
        </is>
      </c>
      <c r="B8" s="52" t="inlineStr">
        <is>
          <t>Loyalty Retargeting: Past buyers who purchased in the last 365 days.</t>
        </is>
      </c>
      <c r="C8" s="58" t="inlineStr">
        <is>
          <t>5% of Total Budget</t>
        </is>
      </c>
      <c r="D8" s="52" t="inlineStr">
        <is>
          <t>• VIP Early Access: Ads highlighting collection drops live 48 hours early for VIPs only.
• Cross-sell Packs: Retargeting t-shirt buyers with utility cargo pants and premium accessories (caps, socks).
• Community Building: Invitations to exclusive meetups/events at the Bandra flagship store.</t>
        </is>
      </c>
      <c r="E8" s="52" t="inlineStr">
        <is>
          <t>• Repeat Purchase Rate: &gt; 25%
• LTV Growth: +30% MoM
• CAC payback period: Instant</t>
        </is>
      </c>
      <c r="F8" s="52" t="inlineStr">
        <is>
          <t>1. Create a Custom Audience of past purchasers.
2. Exclude them from acquisition campaigns to save budget.
3. Run early-bird preview campaigns for new drops 2 days before public release.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5" customWidth="1" min="4" max="4"/>
    <col width="45" customWidth="1" min="5" max="5"/>
    <col width="15" customWidth="1" min="6" max="6"/>
  </cols>
  <sheetData>
    <row r="1" ht="28" customHeight="1">
      <c r="A1" s="43" t="inlineStr">
        <is>
          <t>Chapter 2 Drip - Growth &amp; Unit Economics Simulator</t>
        </is>
      </c>
    </row>
    <row r="2" ht="18" customHeight="1">
      <c r="A2" s="44" t="inlineStr">
        <is>
          <t>Interactive Simulator: Modify input cells in light orange/white to model path to 3.0+ ROAS</t>
        </is>
      </c>
    </row>
    <row r="3" ht="12" customHeight="1"/>
    <row r="4" ht="24" customHeight="1">
      <c r="A4" s="59" t="inlineStr">
        <is>
          <t>1. Media Performance Inputs (Directly Edit White/Orange Cells)</t>
        </is>
      </c>
    </row>
    <row r="5" ht="24" customHeight="1">
      <c r="A5" s="45" t="inlineStr">
        <is>
          <t>Variable Name</t>
        </is>
      </c>
      <c r="B5" s="45" t="inlineStr">
        <is>
          <t>Current State (Est)</t>
        </is>
      </c>
      <c r="C5" s="45" t="inlineStr">
        <is>
          <t>Target State (Scale)</t>
        </is>
      </c>
      <c r="D5" s="45" t="inlineStr">
        <is>
          <t>Formula/Logic Reference</t>
        </is>
      </c>
      <c r="E5" s="45" t="inlineStr">
        <is>
          <t>Strategic Growth Lever</t>
        </is>
      </c>
      <c r="F5" s="45" t="inlineStr">
        <is>
          <t>Unit / Format</t>
        </is>
      </c>
    </row>
    <row r="6" ht="28" customHeight="1">
      <c r="A6" s="51" t="inlineStr">
        <is>
          <t>Average Monthly Media Spend</t>
        </is>
      </c>
      <c r="B6" s="60" t="n">
        <v>9000000</v>
      </c>
      <c r="C6" s="60" t="n">
        <v>13500000</v>
      </c>
      <c r="D6" s="52" t="inlineStr">
        <is>
          <t>Direct Input</t>
        </is>
      </c>
      <c r="E6" s="52" t="inlineStr">
        <is>
          <t>Ad scaling budget allocation based on funding &amp; cash flow</t>
        </is>
      </c>
      <c r="F6" s="61" t="n"/>
    </row>
    <row r="7" ht="28" customHeight="1">
      <c r="A7" s="47" t="inlineStr">
        <is>
          <t>Average Order Value (AOV)</t>
        </is>
      </c>
      <c r="B7" s="62" t="n">
        <v>2200</v>
      </c>
      <c r="C7" s="62" t="n">
        <v>3200</v>
      </c>
      <c r="D7" s="48" t="inlineStr">
        <is>
          <t>Direct Input</t>
        </is>
      </c>
      <c r="E7" s="48" t="inlineStr">
        <is>
          <t>Increase via bundle offers, upsells at checkout, pricing updates</t>
        </is>
      </c>
      <c r="F7" s="63" t="n"/>
    </row>
    <row r="8" ht="28" customHeight="1">
      <c r="A8" s="51" t="inlineStr">
        <is>
          <t>Blended COGS &amp; Fulfillment %</t>
        </is>
      </c>
      <c r="B8" s="64" t="n">
        <v>0.5276999999999999</v>
      </c>
      <c r="C8" s="64" t="n">
        <v>0.4375</v>
      </c>
      <c r="D8" s="52" t="inlineStr">
        <is>
          <t>Direct Input</t>
        </is>
      </c>
      <c r="E8" s="52" t="inlineStr">
        <is>
          <t>Decrease via bulk sourcing, prepaid incentives, regional warehouses</t>
        </is>
      </c>
      <c r="F8" s="61" t="n"/>
    </row>
    <row r="9" ht="28" customHeight="1">
      <c r="A9" s="47" t="inlineStr">
        <is>
          <t>Ad Spend ROAS</t>
        </is>
      </c>
      <c r="B9" s="65" t="n">
        <v>1.8</v>
      </c>
      <c r="C9" s="65" t="n">
        <v>3.2</v>
      </c>
      <c r="D9" s="48" t="inlineStr">
        <is>
          <t>Direct Input</t>
        </is>
      </c>
      <c r="E9" s="48" t="inlineStr">
        <is>
          <t>Increase via high-angle creative velocity, ASC implementation</t>
        </is>
      </c>
      <c r="F9" s="63" t="n"/>
    </row>
    <row r="10" ht="28" customHeight="1">
      <c r="A10" s="51" t="inlineStr">
        <is>
          <t>Gross Sales Revenue</t>
        </is>
      </c>
      <c r="B10" s="66">
        <f>B6*B9</f>
        <v/>
      </c>
      <c r="C10" s="66">
        <f>C6*C9</f>
        <v/>
      </c>
      <c r="D10" s="52" t="inlineStr">
        <is>
          <t>Media Spend * ROAS</t>
        </is>
      </c>
      <c r="E10" s="52" t="inlineStr">
        <is>
          <t>Dynamic outcome representing monthly D2C website sales</t>
        </is>
      </c>
      <c r="F10" s="61" t="n"/>
    </row>
    <row r="11" ht="28" customHeight="1">
      <c r="A11" s="47" t="inlineStr">
        <is>
          <t>Total COGS Amount</t>
        </is>
      </c>
      <c r="B11" s="66">
        <f>B10*B8</f>
        <v/>
      </c>
      <c r="C11" s="66">
        <f>C10*C8</f>
        <v/>
      </c>
      <c r="D11" s="48" t="inlineStr">
        <is>
          <t>Sales Revenue * COGS %</t>
        </is>
      </c>
      <c r="E11" s="48" t="inlineStr">
        <is>
          <t>Dynamic manufacturing cost of sold inventory</t>
        </is>
      </c>
      <c r="F11" s="63" t="n"/>
    </row>
    <row r="12" ht="28" customHeight="1">
      <c r="A12" s="51" t="inlineStr">
        <is>
          <t>Gross Margin Value</t>
        </is>
      </c>
      <c r="B12" s="66">
        <f>B10-B11</f>
        <v/>
      </c>
      <c r="C12" s="66">
        <f>C10-C11</f>
        <v/>
      </c>
      <c r="D12" s="52" t="inlineStr">
        <is>
          <t>Sales Revenue - Total COGS</t>
        </is>
      </c>
      <c r="E12" s="52" t="inlineStr">
        <is>
          <t>Dynamic profit before advertising costs</t>
        </is>
      </c>
      <c r="F12" s="61" t="n"/>
    </row>
    <row r="13" ht="28" customHeight="1">
      <c r="A13" s="47" t="inlineStr">
        <is>
          <t>Blended Target CAC</t>
        </is>
      </c>
      <c r="B13" s="66">
        <f>B7/B9</f>
        <v/>
      </c>
      <c r="C13" s="66">
        <f>C7/C9</f>
        <v/>
      </c>
      <c r="D13" s="48" t="inlineStr">
        <is>
          <t>AOV / ROAS</t>
        </is>
      </c>
      <c r="E13" s="48" t="inlineStr">
        <is>
          <t>Calculated cost to acquire 1 new purchasing customer</t>
        </is>
      </c>
      <c r="F13" s="63" t="n"/>
    </row>
    <row r="14" ht="28" customHeight="1">
      <c r="A14" s="51" t="inlineStr">
        <is>
          <t>Total Customers Acquired</t>
        </is>
      </c>
      <c r="B14" s="67">
        <f>B6/B13</f>
        <v/>
      </c>
      <c r="C14" s="67">
        <f>C6/C13</f>
        <v/>
      </c>
      <c r="D14" s="52" t="inlineStr">
        <is>
          <t>Media Spend / CAC</t>
        </is>
      </c>
      <c r="E14" s="52" t="inlineStr">
        <is>
          <t>Total transactional volume generated per month</t>
        </is>
      </c>
      <c r="F14" s="61" t="n"/>
    </row>
    <row r="15" ht="28" customHeight="1">
      <c r="A15" s="68" t="inlineStr">
        <is>
          <t>Contribution Margin 1 (CM1)</t>
        </is>
      </c>
      <c r="B15" s="69">
        <f>B12-B6</f>
        <v/>
      </c>
      <c r="C15" s="69">
        <f>C12-C6</f>
        <v/>
      </c>
      <c r="D15" s="70" t="inlineStr">
        <is>
          <t>Gross Margin - Media Spend</t>
        </is>
      </c>
      <c r="E15" s="70" t="inlineStr">
        <is>
          <t>D2C Profitability metric after media buying costs</t>
        </is>
      </c>
      <c r="F15" s="71" t="n"/>
    </row>
    <row r="16" ht="28" customHeight="1">
      <c r="A16" s="72" t="inlineStr">
        <is>
          <t>Contribution Margin 1 % (CM1 %)</t>
        </is>
      </c>
      <c r="B16" s="73">
        <f>B15/B10</f>
        <v/>
      </c>
      <c r="C16" s="74">
        <f>C15/C10</f>
        <v/>
      </c>
      <c r="D16" s="75" t="inlineStr">
        <is>
          <t>CM1 / Sales Revenue</t>
        </is>
      </c>
      <c r="E16" s="75" t="inlineStr">
        <is>
          <t>Relative efficiency of the business scaling</t>
        </is>
      </c>
      <c r="F16" s="76" t="n"/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2026-06-13T04:55:52Z</dcterms:created>
  <dcterms:modified xmlns:dcterms="http://purl.org/dc/terms/" xmlns:xsi="http://www.w3.org/2001/XMLSchema-instance" xsi:type="dcterms:W3CDTF">2026-06-13T04:55:52Z</dcterms:modified>
</cp:coreProperties>
</file>